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<sst xmlns="http://schemas.openxmlformats.org/spreadsheetml/2006/main" count="7" uniqueCount="7">
  <si>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Year</t>
  </si>
  <si>
    <t>Cashflow</t>
  </si>
  <si>
    <t>PV Formula</t>
  </si>
  <si>
    <t>PV</t>
  </si>
  <si>
    <t>0=-1000+300/(1+0.11)+400/(1+0.11)^2)+500/(1+0.11)^3)</t>
  </si>
  <si>
    <t>Ex: 01</t>
  </si>
  <si>
    <t>Change the rate or cashflows. When does the project become profitable?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</si>
</sst>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£-809]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quotePrefix="1"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1" t="s">
        <v>1</v>
      </c>
      <c r="C3" s="1" t="s">
        <v>2</v>
      </c>
      <c r="D3" s="1" t="s">
        <v>3</v>
      </c>
    </row>
    <row r="4">
      <c r="A4" s="2">
        <v>0.0</v>
      </c>
      <c r="B4" s="2">
        <v>-1000.0</v>
      </c>
      <c r="C4" s="2">
        <v>-1000.0</v>
      </c>
      <c r="D4" s="2">
        <v>-1000.0</v>
      </c>
      <c r="F4" s="3">
        <f>0.11</f>
        <v>0.11</v>
      </c>
      <c r="G4" s="4" t="s">
        <v>4</v>
      </c>
    </row>
    <row r="5">
      <c r="A5" s="2">
        <v>1.0</v>
      </c>
      <c r="B5" s="2">
        <v>300.0</v>
      </c>
      <c r="C5" s="2">
        <f>B5/(1+$F4)^1</f>
        <v>270.2702703</v>
      </c>
      <c r="D5" s="2">
        <v>272.7</v>
      </c>
    </row>
    <row r="6">
      <c r="A6" s="2">
        <v>2.0</v>
      </c>
      <c r="B6" s="2">
        <v>680.0</v>
      </c>
      <c r="C6" s="2">
        <f>B6/(1+$F4)^2</f>
        <v>551.9032546</v>
      </c>
      <c r="D6" s="2">
        <v>330.6</v>
      </c>
    </row>
    <row r="7">
      <c r="A7" s="2">
        <v>3.0</v>
      </c>
      <c r="B7" s="2">
        <v>500.0</v>
      </c>
      <c r="C7" s="2">
        <f>B7/(1+$F4)^3</f>
        <v>365.5956907</v>
      </c>
      <c r="D7" s="2">
        <v>375.7</v>
      </c>
    </row>
    <row r="8">
      <c r="C8" s="3">
        <f t="shared" ref="C8:D8" si="1">SUM(C4:C7)</f>
        <v>187.7692155</v>
      </c>
      <c r="D8" s="3">
        <f t="shared" si="1"/>
        <v>-21</v>
      </c>
    </row>
    <row r="11">
      <c r="D11" s="5">
        <f t="array" ref="D11">NPV(0.1, B5:B7)+B4</f>
        <v>210.3681443</v>
      </c>
      <c r="E11" s="5">
        <f t="array" ref="E11">NPV(0.1, B5:B7)</f>
        <v>1210.368144</v>
      </c>
    </row>
    <row r="12">
      <c r="D12" s="6">
        <f>IRR(B4:B7)</f>
        <v>0.2067969962</v>
      </c>
    </row>
    <row r="13">
      <c r="A13" s="2" t="s">
        <v>5</v>
      </c>
      <c r="B13" s="2" t="s">
        <v>6</v>
      </c>
    </row>
  </sheetData>
  <drawing r:id="rId1"/>
</worksheet>
</file>